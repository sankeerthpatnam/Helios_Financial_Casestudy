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anke\Downloads\"/>
    </mc:Choice>
  </mc:AlternateContent>
  <xr:revisionPtr revIDLastSave="0" documentId="13_ncr:1_{D6543BC3-B2DC-4D00-8DA6-DB475247D47A}" xr6:coauthVersionLast="47" xr6:coauthVersionMax="47" xr10:uidLastSave="{00000000-0000-0000-0000-000000000000}"/>
  <bookViews>
    <workbookView xWindow="11424" yWindow="0" windowWidth="11712" windowHeight="12336" tabRatio="916" xr2:uid="{00000000-000D-0000-FFFF-FFFF00000000}"/>
  </bookViews>
  <sheets>
    <sheet name="Scenario" sheetId="1" r:id="rId1"/>
    <sheet name="Assumptions" sheetId="2" r:id="rId2"/>
    <sheet name="PL" sheetId="3" r:id="rId3"/>
    <sheet name="CashFlow" sheetId="5" r:id="rId4"/>
    <sheet name="BalanceSheet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4" l="1"/>
  <c r="C3" i="4"/>
  <c r="C4" i="4"/>
  <c r="C5" i="4"/>
  <c r="C6" i="4"/>
  <c r="B3" i="4"/>
  <c r="B4" i="4"/>
  <c r="B5" i="4"/>
  <c r="B6" i="4"/>
  <c r="E4" i="5"/>
  <c r="E5" i="5" s="1"/>
  <c r="E6" i="5" s="1"/>
  <c r="C3" i="5"/>
  <c r="C4" i="5"/>
  <c r="C5" i="5"/>
  <c r="C6" i="5"/>
  <c r="C2" i="5"/>
  <c r="B9" i="2"/>
  <c r="I6" i="1"/>
  <c r="I5" i="1"/>
  <c r="B5" i="2" s="1"/>
  <c r="I4" i="1"/>
  <c r="B4" i="2" s="1"/>
  <c r="I3" i="1"/>
  <c r="B3" i="2" s="1"/>
  <c r="I2" i="1"/>
  <c r="B2" i="2" s="1"/>
  <c r="B2" i="3" s="1"/>
  <c r="B3" i="3" s="1"/>
  <c r="B4" i="3" s="1"/>
  <c r="B5" i="3" s="1"/>
  <c r="B6" i="3" s="1"/>
  <c r="C2" i="3" l="1"/>
  <c r="E2" i="3"/>
  <c r="C3" i="3"/>
  <c r="D3" i="3" s="1"/>
  <c r="E3" i="3"/>
  <c r="E5" i="3"/>
  <c r="C5" i="3"/>
  <c r="D5" i="3" s="1"/>
  <c r="C4" i="3"/>
  <c r="D4" i="3" s="1"/>
  <c r="E4" i="3"/>
  <c r="D2" i="3"/>
  <c r="F3" i="3" l="1"/>
  <c r="G3" i="3" s="1"/>
  <c r="H3" i="3" s="1"/>
  <c r="B3" i="5" s="1"/>
  <c r="F5" i="3"/>
  <c r="G5" i="3" s="1"/>
  <c r="H5" i="3" s="1"/>
  <c r="B5" i="5" s="1"/>
  <c r="E6" i="3"/>
  <c r="C6" i="3"/>
  <c r="D6" i="3" s="1"/>
  <c r="F6" i="3" s="1"/>
  <c r="G6" i="3" s="1"/>
  <c r="H6" i="3" s="1"/>
  <c r="B6" i="5" s="1"/>
  <c r="F4" i="3"/>
  <c r="G4" i="3" s="1"/>
  <c r="H4" i="3" s="1"/>
  <c r="B4" i="5" s="1"/>
  <c r="F2" i="3"/>
  <c r="G2" i="3" s="1"/>
  <c r="H2" i="3" l="1"/>
  <c r="B2" i="5" s="1"/>
  <c r="D2" i="5" s="1"/>
  <c r="E2" i="5" l="1"/>
  <c r="B2" i="4"/>
  <c r="D2" i="4" s="1"/>
  <c r="D3" i="5"/>
  <c r="D3" i="4" l="1"/>
  <c r="E3" i="5"/>
  <c r="D4" i="5"/>
  <c r="D4" i="4" l="1"/>
  <c r="D5" i="5"/>
  <c r="D5" i="4" l="1"/>
  <c r="D6" i="5"/>
  <c r="D6" i="4" s="1"/>
</calcChain>
</file>

<file path=xl/sharedStrings.xml><?xml version="1.0" encoding="utf-8"?>
<sst xmlns="http://schemas.openxmlformats.org/spreadsheetml/2006/main" count="45" uniqueCount="31">
  <si>
    <t>Variable</t>
  </si>
  <si>
    <t>Bull</t>
  </si>
  <si>
    <t>Base</t>
  </si>
  <si>
    <t>Bear</t>
  </si>
  <si>
    <t>Select Scenario</t>
  </si>
  <si>
    <t>RevenueGrowth</t>
  </si>
  <si>
    <t>Year</t>
  </si>
  <si>
    <t>Revenue</t>
  </si>
  <si>
    <t>COGS</t>
  </si>
  <si>
    <t>GrossProfit</t>
  </si>
  <si>
    <t>Opex</t>
  </si>
  <si>
    <t>EBIT</t>
  </si>
  <si>
    <t>Taxes</t>
  </si>
  <si>
    <t>NetIncome</t>
  </si>
  <si>
    <t>Cash</t>
  </si>
  <si>
    <t>PPE</t>
  </si>
  <si>
    <t>Equity</t>
  </si>
  <si>
    <t>Capex</t>
  </si>
  <si>
    <t>FreeCashFlow</t>
  </si>
  <si>
    <t>EndingCash</t>
  </si>
  <si>
    <t>COGS_%OfRev</t>
  </si>
  <si>
    <t>Opex_%OfRev</t>
  </si>
  <si>
    <t>Tax %</t>
  </si>
  <si>
    <t>Active Assumptions</t>
  </si>
  <si>
    <t>Start Revenue (Year 1)</t>
  </si>
  <si>
    <t>Starting cash</t>
  </si>
  <si>
    <t>Starting PPE</t>
  </si>
  <si>
    <t>Starting equity</t>
  </si>
  <si>
    <t>Metrics</t>
  </si>
  <si>
    <t>Liability</t>
  </si>
  <si>
    <t>CapEx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</si>
</sst>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6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</cellStyleXfs>
  <cellXfs count="5">
    <xf numFmtId="0" fontId="0" fillId="0" borderId="0" xfId="0"/>
    <xf numFmtId="0" fontId="3" fillId="0" borderId="0" xfId="0" applyFont="1" applyAlignment="1">
      <alignment vertical="center" wrapText="1"/>
    </xf>
    <xf numFmtId="0" fontId="1" fillId="3" borderId="0" xfId="2"/>
    <xf numFmtId="0" fontId="1" fillId="3" borderId="0" xfId="2" applyAlignment="1">
      <alignment vertical="center" wrapText="1"/>
    </xf>
    <xf numFmtId="0" fontId="2" fillId="2" borderId="1" xfId="1"/>
  </cellXfs>
  <cellStyles count="3">
    <cellStyle name="20% - Accent3" xfId="2" builtinId="38"/>
    <cellStyle name="Normal" xfId="0" builtinId="0"/>
    <cellStyle name="Output" xfId="1" builtinId="21"/>
  </cellStyles>
  <dxfs count="2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F45EB11-53FC-4ED8-9D16-13F9A01AD0A3}" name="Table4" displayName="Table4" ref="A1:D6" totalsRowShown="0">
  <autoFilter ref="A1:D6" xr:uid="{AF45EB11-53FC-4ED8-9D16-13F9A01AD0A3}"/>
  <tableColumns count="4">
    <tableColumn id="1" xr3:uid="{5A234F0D-A2C5-47D5-8AD1-C4226F294B7A}" name="Variable"/>
    <tableColumn id="2" xr3:uid="{16013CEC-1DFD-4A43-8D83-D7ADF4B0AAE7}" name="Bull"/>
    <tableColumn id="3" xr3:uid="{D4CBC2C9-C04E-40C3-A598-B5B95D70D148}" name="Base"/>
    <tableColumn id="4" xr3:uid="{74269C4F-E5D1-4F38-8315-E08BB6A2D0FE}" name="Bear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7B42CBD-463B-4E2B-8AFF-C35EB7F8FADA}" name="Table5" displayName="Table5" ref="H1:I6" totalsRowShown="0">
  <autoFilter ref="H1:I6" xr:uid="{E7B42CBD-463B-4E2B-8AFF-C35EB7F8FADA}"/>
  <tableColumns count="2">
    <tableColumn id="1" xr3:uid="{375F99CB-8E5C-48AC-8A26-6FDCD408785E}" name="Active Assumptions"/>
    <tableColumn id="2" xr3:uid="{9AE7CAC4-D40A-4212-82D6-5F65FFB50466}" name="Metrics" dataDxfId="1">
      <calculatedColumnFormula>IF($F$2="Bull", B2, IF($F$2="Base", C2, IF($F$2="Bear", D2, "")))</calculatedColumnFormula>
    </tableColumn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E95375-5F23-479D-B0EC-C4C854171823}" name="Table1" displayName="Table1" ref="A1:H6" totalsRowShown="0">
  <autoFilter ref="A1:H6" xr:uid="{1BE95375-5F23-479D-B0EC-C4C854171823}"/>
  <tableColumns count="8">
    <tableColumn id="1" xr3:uid="{A876E8C4-D33F-47D4-9442-D3EB0FFD1B1C}" name="Year"/>
    <tableColumn id="2" xr3:uid="{2E88549F-3A73-4457-8559-14A8BB6FAC22}" name="Revenue">
      <calculatedColumnFormula>B1*(1+Assumptions!$B$2)</calculatedColumnFormula>
    </tableColumn>
    <tableColumn id="3" xr3:uid="{BF320CDF-55FE-472D-89E8-46E64B4DBB02}" name="COGS">
      <calculatedColumnFormula>B2*Assumptions!$B$3</calculatedColumnFormula>
    </tableColumn>
    <tableColumn id="4" xr3:uid="{6B099247-74A2-47E7-89AA-D169C64433E2}" name="GrossProfit">
      <calculatedColumnFormula>B2-C2</calculatedColumnFormula>
    </tableColumn>
    <tableColumn id="5" xr3:uid="{1DEEE0E2-C0F1-4C90-8913-F386759284F2}" name="Opex">
      <calculatedColumnFormula>B2*Assumptions!$B$4</calculatedColumnFormula>
    </tableColumn>
    <tableColumn id="6" xr3:uid="{F327F909-7A5C-42B3-84D0-729121923239}" name="EBIT">
      <calculatedColumnFormula>D2-E2</calculatedColumnFormula>
    </tableColumn>
    <tableColumn id="7" xr3:uid="{A95B1BF8-5BD1-4B01-BF66-703114193B92}" name="Taxes">
      <calculatedColumnFormula>F2*Assumptions!$B$5</calculatedColumnFormula>
    </tableColumn>
    <tableColumn id="8" xr3:uid="{9FFCD43D-0161-4165-8CD2-87FA80A65F6E}" name="NetIncome">
      <calculatedColumnFormula>F2-G2</calculatedColumnFormula>
    </tableColumn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63B1A9B-B8BA-470A-B611-45CFABC6CD47}" name="Table7" displayName="Table7" ref="A1:E6" totalsRowShown="0">
  <autoFilter ref="A1:E6" xr:uid="{663B1A9B-B8BA-470A-B611-45CFABC6CD47}"/>
  <tableColumns count="5">
    <tableColumn id="1" xr3:uid="{530D1CF6-F3CB-47F5-94B5-9541FB1F74C2}" name="Year"/>
    <tableColumn id="2" xr3:uid="{9FC069D5-BEB4-41CA-BD37-23614621A391}" name="NetIncome">
      <calculatedColumnFormula>PL!H2</calculatedColumnFormula>
    </tableColumn>
    <tableColumn id="3" xr3:uid="{8B7FEA9A-BAF5-4C4B-8341-D003DDBD0CDC}" name="Capex">
      <calculatedColumnFormula>Assumptions!$B$9</calculatedColumnFormula>
    </tableColumn>
    <tableColumn id="4" xr3:uid="{DE75D2A3-AFCA-44F4-B5F2-D96E78D31446}" name="FreeCashFlow">
      <calculatedColumnFormula>B2+C2</calculatedColumnFormula>
    </tableColumn>
    <tableColumn id="5" xr3:uid="{7714CE3F-F436-49AA-BDE4-3FA920727501}" name="EndingCash">
      <calculatedColumnFormula>E1+D2</calculatedColumnFormula>
    </tableColumn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DD06E06-B989-4F2B-8089-1B67352B7DFD}" name="Table6" displayName="Table6" ref="A1:E6" totalsRowShown="0">
  <autoFilter ref="A1:E6" xr:uid="{3DD06E06-B989-4F2B-8089-1B67352B7DFD}"/>
  <tableColumns count="5">
    <tableColumn id="1" xr3:uid="{21154F89-C27A-481D-BE1C-8A08F62D8C10}" name="Year"/>
    <tableColumn id="2" xr3:uid="{2B62EE89-0C45-440E-8B06-E6A4A6D73521}" name="Cash">
      <calculatedColumnFormula>CashFlow!D2</calculatedColumnFormula>
    </tableColumn>
    <tableColumn id="3" xr3:uid="{45CC1E37-6B5B-4398-B80B-063F247FE732}" name="PPE" dataDxfId="0">
      <calculatedColumnFormula>Assumptions!$B$7</calculatedColumnFormula>
    </tableColumn>
    <tableColumn id="4" xr3:uid="{487CCDCD-2A58-438F-997B-CA6E2606F759}" name="Equity">
      <calculatedColumnFormula>B2+C2</calculatedColumnFormula>
    </tableColumn>
    <tableColumn id="5" xr3:uid="{5EC068D3-40FB-4F77-8870-6901F81F2858}" name="Liability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zoomScale="66" workbookViewId="0">
      <selection activeCell="G27" sqref="G27"/>
    </sheetView>
  </sheetViews>
  <sheetFormatPr defaultRowHeight="14.4" x14ac:dyDescent="0.3"/>
  <cols>
    <col min="1" max="1" width="15.77734375" bestFit="1" customWidth="1"/>
    <col min="6" max="6" width="15.21875" bestFit="1" customWidth="1"/>
    <col min="8" max="8" width="24.88671875" bestFit="1" customWidth="1"/>
    <col min="9" max="9" width="9.7773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F1" s="2" t="s">
        <v>4</v>
      </c>
      <c r="H1" t="s">
        <v>23</v>
      </c>
      <c r="I1" t="s">
        <v>28</v>
      </c>
    </row>
    <row r="2" spans="1:9" x14ac:dyDescent="0.3">
      <c r="A2" t="s">
        <v>5</v>
      </c>
      <c r="B2">
        <v>0.35</v>
      </c>
      <c r="C2">
        <v>0.2</v>
      </c>
      <c r="D2">
        <v>0.1</v>
      </c>
      <c r="F2" s="4" t="s">
        <v>2</v>
      </c>
      <c r="H2" t="s">
        <v>5</v>
      </c>
      <c r="I2" s="1">
        <f>IF($F$2="Bull", B2, IF($F$2="Base", C2, IF($F$2="Bear", D2, "")))</f>
        <v>0.2</v>
      </c>
    </row>
    <row r="3" spans="1:9" x14ac:dyDescent="0.3">
      <c r="A3" t="s">
        <v>20</v>
      </c>
      <c r="B3">
        <v>0.35</v>
      </c>
      <c r="C3">
        <v>0.4</v>
      </c>
      <c r="D3">
        <v>0.5</v>
      </c>
      <c r="H3" t="s">
        <v>20</v>
      </c>
      <c r="I3" s="1">
        <f>IF($F$2="Bull", B3, IF($F$2="Base", C3, IF($F$2="Bear", D3, "")))</f>
        <v>0.4</v>
      </c>
    </row>
    <row r="4" spans="1:9" x14ac:dyDescent="0.3">
      <c r="A4" t="s">
        <v>21</v>
      </c>
      <c r="B4">
        <v>0.45</v>
      </c>
      <c r="C4">
        <v>0.5</v>
      </c>
      <c r="D4">
        <v>0.6</v>
      </c>
      <c r="H4" t="s">
        <v>21</v>
      </c>
      <c r="I4" s="1">
        <f>IF($F$2="Bull", B4, IF($F$2="Base", C4, IF($F$2="Bear", D4, "")))</f>
        <v>0.5</v>
      </c>
    </row>
    <row r="5" spans="1:9" x14ac:dyDescent="0.3">
      <c r="A5" t="s">
        <v>22</v>
      </c>
      <c r="B5">
        <v>0.21</v>
      </c>
      <c r="C5">
        <v>0.21</v>
      </c>
      <c r="D5">
        <v>0.21</v>
      </c>
      <c r="H5" t="s">
        <v>22</v>
      </c>
      <c r="I5" s="1">
        <f>IF($F$2="Bull", B5, IF($F$2="Base", C5, IF($F$2="Bear", D5, "")))</f>
        <v>0.21</v>
      </c>
    </row>
    <row r="6" spans="1:9" x14ac:dyDescent="0.3">
      <c r="A6" t="s">
        <v>30</v>
      </c>
      <c r="B6">
        <v>-500000</v>
      </c>
      <c r="C6">
        <v>-500000</v>
      </c>
      <c r="D6">
        <v>-500000</v>
      </c>
      <c r="H6" t="s">
        <v>30</v>
      </c>
      <c r="I6" s="1">
        <f>IF($F$2="Bull", B6, IF($F$2="Base", C6, IF($F$2="Bear", D6, "")))</f>
        <v>-500000</v>
      </c>
    </row>
  </sheetData>
  <dataValidations count="1">
    <dataValidation type="list" allowBlank="1" showInputMessage="1" showErrorMessage="1" sqref="F2" xr:uid="{074F4C57-D022-400D-9A78-BF2EF7BE64E6}">
      <formula1>"Bull, Base, Bear"</formula1>
    </dataValidation>
  </dataValidation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D11" sqref="D11"/>
    </sheetView>
  </sheetViews>
  <sheetFormatPr defaultRowHeight="14.4" x14ac:dyDescent="0.3"/>
  <cols>
    <col min="1" max="1" width="18.77734375" bestFit="1" customWidth="1"/>
    <col min="2" max="2" width="8" bestFit="1" customWidth="1"/>
  </cols>
  <sheetData>
    <row r="1" spans="1:2" x14ac:dyDescent="0.3">
      <c r="A1" s="2" t="s">
        <v>24</v>
      </c>
      <c r="B1" s="2">
        <v>5000000</v>
      </c>
    </row>
    <row r="2" spans="1:2" x14ac:dyDescent="0.3">
      <c r="A2" s="2" t="s">
        <v>5</v>
      </c>
      <c r="B2" s="2">
        <f>Scenario!I2</f>
        <v>0.2</v>
      </c>
    </row>
    <row r="3" spans="1:2" x14ac:dyDescent="0.3">
      <c r="A3" s="2" t="s">
        <v>20</v>
      </c>
      <c r="B3" s="2">
        <f>Scenario!I3</f>
        <v>0.4</v>
      </c>
    </row>
    <row r="4" spans="1:2" x14ac:dyDescent="0.3">
      <c r="A4" s="2" t="s">
        <v>21</v>
      </c>
      <c r="B4" s="2">
        <f>Scenario!I4</f>
        <v>0.5</v>
      </c>
    </row>
    <row r="5" spans="1:2" x14ac:dyDescent="0.3">
      <c r="A5" s="2" t="s">
        <v>22</v>
      </c>
      <c r="B5" s="3">
        <f>Scenario!I5</f>
        <v>0.21</v>
      </c>
    </row>
    <row r="6" spans="1:2" x14ac:dyDescent="0.3">
      <c r="A6" s="3" t="s">
        <v>25</v>
      </c>
      <c r="B6" s="3">
        <v>0</v>
      </c>
    </row>
    <row r="7" spans="1:2" x14ac:dyDescent="0.3">
      <c r="A7" s="3" t="s">
        <v>26</v>
      </c>
      <c r="B7" s="2">
        <v>2000000</v>
      </c>
    </row>
    <row r="8" spans="1:2" x14ac:dyDescent="0.3">
      <c r="A8" s="3" t="s">
        <v>27</v>
      </c>
      <c r="B8" s="2">
        <v>2000000</v>
      </c>
    </row>
    <row r="9" spans="1:2" x14ac:dyDescent="0.3">
      <c r="A9" s="3" t="s">
        <v>30</v>
      </c>
      <c r="B9" s="2">
        <f>Scenario!I6</f>
        <v>-500000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workbookViewId="0">
      <selection activeCell="D25" sqref="D25"/>
    </sheetView>
  </sheetViews>
  <sheetFormatPr defaultRowHeight="14.4" x14ac:dyDescent="0.3"/>
  <cols>
    <col min="2" max="2" width="9.88671875" customWidth="1"/>
    <col min="4" max="4" width="12" customWidth="1"/>
    <col min="8" max="8" width="12" customWidth="1"/>
  </cols>
  <sheetData>
    <row r="1" spans="1:8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 spans="1:8" x14ac:dyDescent="0.3">
      <c r="A2">
        <v>2026</v>
      </c>
      <c r="B2">
        <f>Assumptions!$B$1*(1+Assumptions!$B$2)</f>
        <v>6000000</v>
      </c>
      <c r="C2">
        <f>B2*Assumptions!$B$3</f>
        <v>2400000</v>
      </c>
      <c r="D2">
        <f>B2-C2</f>
        <v>3600000</v>
      </c>
      <c r="E2">
        <f>B2*Assumptions!$B$4</f>
        <v>3000000</v>
      </c>
      <c r="F2">
        <f>D2-E2</f>
        <v>600000</v>
      </c>
      <c r="G2">
        <f>F2*Assumptions!$B$5</f>
        <v>126000</v>
      </c>
      <c r="H2">
        <f>F2-G2</f>
        <v>474000</v>
      </c>
    </row>
    <row r="3" spans="1:8" x14ac:dyDescent="0.3">
      <c r="A3">
        <v>2027</v>
      </c>
      <c r="B3">
        <f>B2*(1+Assumptions!$B$2)</f>
        <v>7200000</v>
      </c>
      <c r="C3">
        <f>B3*Assumptions!$B$3</f>
        <v>2880000</v>
      </c>
      <c r="D3">
        <f t="shared" ref="D3:D6" si="0">B3-C3</f>
        <v>4320000</v>
      </c>
      <c r="E3">
        <f>B3*Assumptions!$B$4</f>
        <v>3600000</v>
      </c>
      <c r="F3">
        <f t="shared" ref="F3:F6" si="1">D3-E3</f>
        <v>720000</v>
      </c>
      <c r="G3">
        <f>F3*Assumptions!$B$5</f>
        <v>151200</v>
      </c>
      <c r="H3">
        <f t="shared" ref="H3:H6" si="2">F3-G3</f>
        <v>568800</v>
      </c>
    </row>
    <row r="4" spans="1:8" x14ac:dyDescent="0.3">
      <c r="A4">
        <v>2028</v>
      </c>
      <c r="B4">
        <f>B3*(1+Assumptions!$B$2)</f>
        <v>8640000</v>
      </c>
      <c r="C4">
        <f>B4*Assumptions!$B$3</f>
        <v>3456000</v>
      </c>
      <c r="D4">
        <f t="shared" si="0"/>
        <v>5184000</v>
      </c>
      <c r="E4">
        <f>B4*Assumptions!$B$4</f>
        <v>4320000</v>
      </c>
      <c r="F4">
        <f t="shared" si="1"/>
        <v>864000</v>
      </c>
      <c r="G4">
        <f>F4*Assumptions!$B$5</f>
        <v>181440</v>
      </c>
      <c r="H4">
        <f t="shared" si="2"/>
        <v>682560</v>
      </c>
    </row>
    <row r="5" spans="1:8" x14ac:dyDescent="0.3">
      <c r="A5">
        <v>2029</v>
      </c>
      <c r="B5">
        <f>B4*(1+Assumptions!$B$2)</f>
        <v>10368000</v>
      </c>
      <c r="C5">
        <f>B5*Assumptions!$B$3</f>
        <v>4147200</v>
      </c>
      <c r="D5">
        <f t="shared" si="0"/>
        <v>6220800</v>
      </c>
      <c r="E5">
        <f>B5*Assumptions!$B$4</f>
        <v>5184000</v>
      </c>
      <c r="F5">
        <f t="shared" si="1"/>
        <v>1036800</v>
      </c>
      <c r="G5">
        <f>F5*Assumptions!$B$5</f>
        <v>217728</v>
      </c>
      <c r="H5">
        <f t="shared" si="2"/>
        <v>819072</v>
      </c>
    </row>
    <row r="6" spans="1:8" x14ac:dyDescent="0.3">
      <c r="A6">
        <v>2030</v>
      </c>
      <c r="B6">
        <f>B5*(1+Assumptions!$B$2)</f>
        <v>12441600</v>
      </c>
      <c r="C6">
        <f>B6*Assumptions!$B$3</f>
        <v>4976640</v>
      </c>
      <c r="D6">
        <f t="shared" si="0"/>
        <v>7464960</v>
      </c>
      <c r="E6">
        <f>B6*Assumptions!$B$4</f>
        <v>6220800</v>
      </c>
      <c r="F6">
        <f t="shared" si="1"/>
        <v>1244160</v>
      </c>
      <c r="G6">
        <f>F6*Assumptions!$B$5</f>
        <v>261273.59999999998</v>
      </c>
      <c r="H6">
        <f t="shared" si="2"/>
        <v>982886.40000000002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>
      <selection activeCell="E10" sqref="E10"/>
    </sheetView>
  </sheetViews>
  <sheetFormatPr defaultRowHeight="14.4" x14ac:dyDescent="0.3"/>
  <cols>
    <col min="2" max="2" width="12.5546875" bestFit="1" customWidth="1"/>
    <col min="4" max="4" width="14.6640625" bestFit="1" customWidth="1"/>
    <col min="5" max="5" width="13" bestFit="1" customWidth="1"/>
  </cols>
  <sheetData>
    <row r="1" spans="1:5" x14ac:dyDescent="0.3">
      <c r="A1" t="s">
        <v>6</v>
      </c>
      <c r="B1" t="s">
        <v>13</v>
      </c>
      <c r="C1" t="s">
        <v>17</v>
      </c>
      <c r="D1" t="s">
        <v>18</v>
      </c>
      <c r="E1" t="s">
        <v>19</v>
      </c>
    </row>
    <row r="2" spans="1:5" x14ac:dyDescent="0.3">
      <c r="A2">
        <v>2026</v>
      </c>
      <c r="B2">
        <f>PL!H2</f>
        <v>474000</v>
      </c>
      <c r="C2">
        <f>Assumptions!$B$9</f>
        <v>-500000</v>
      </c>
      <c r="D2">
        <f>B2+C2</f>
        <v>-26000</v>
      </c>
      <c r="E2">
        <f>D2</f>
        <v>-26000</v>
      </c>
    </row>
    <row r="3" spans="1:5" x14ac:dyDescent="0.3">
      <c r="A3">
        <v>2027</v>
      </c>
      <c r="B3">
        <f>PL!H3</f>
        <v>568800</v>
      </c>
      <c r="C3">
        <f>Assumptions!$B$9</f>
        <v>-500000</v>
      </c>
      <c r="D3">
        <f>B3+C3</f>
        <v>68800</v>
      </c>
      <c r="E3">
        <f>E2+D3</f>
        <v>42800</v>
      </c>
    </row>
    <row r="4" spans="1:5" x14ac:dyDescent="0.3">
      <c r="A4">
        <v>2028</v>
      </c>
      <c r="B4">
        <f>PL!H4</f>
        <v>682560</v>
      </c>
      <c r="C4">
        <f>Assumptions!$B$9</f>
        <v>-500000</v>
      </c>
      <c r="D4">
        <f>B4+C4</f>
        <v>182560</v>
      </c>
      <c r="E4">
        <f>E3+D4</f>
        <v>225360</v>
      </c>
    </row>
    <row r="5" spans="1:5" x14ac:dyDescent="0.3">
      <c r="A5">
        <v>2029</v>
      </c>
      <c r="B5">
        <f>PL!H5</f>
        <v>819072</v>
      </c>
      <c r="C5">
        <f>Assumptions!$B$9</f>
        <v>-500000</v>
      </c>
      <c r="D5">
        <f>B5+C5</f>
        <v>319072</v>
      </c>
      <c r="E5">
        <f>E4+D5</f>
        <v>544432</v>
      </c>
    </row>
    <row r="6" spans="1:5" x14ac:dyDescent="0.3">
      <c r="A6">
        <v>2030</v>
      </c>
      <c r="B6">
        <f>PL!H6</f>
        <v>982886.40000000002</v>
      </c>
      <c r="C6">
        <f>Assumptions!$B$9</f>
        <v>-500000</v>
      </c>
      <c r="D6">
        <f>B6+C6</f>
        <v>482886.40000000002</v>
      </c>
      <c r="E6">
        <f>E5+D6</f>
        <v>1027318.4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>
      <selection activeCell="D2" sqref="D2"/>
    </sheetView>
  </sheetViews>
  <sheetFormatPr defaultRowHeight="14.4" x14ac:dyDescent="0.3"/>
  <cols>
    <col min="1" max="1" width="6.77734375" customWidth="1"/>
    <col min="3" max="3" width="10.44140625" customWidth="1"/>
    <col min="5" max="5" width="9.109375" customWidth="1"/>
  </cols>
  <sheetData>
    <row r="1" spans="1:5" x14ac:dyDescent="0.3">
      <c r="A1" t="s">
        <v>6</v>
      </c>
      <c r="B1" t="s">
        <v>14</v>
      </c>
      <c r="C1" t="s">
        <v>15</v>
      </c>
      <c r="D1" t="s">
        <v>16</v>
      </c>
      <c r="E1" t="s">
        <v>29</v>
      </c>
    </row>
    <row r="2" spans="1:5" x14ac:dyDescent="0.3">
      <c r="A2">
        <v>2026</v>
      </c>
      <c r="B2">
        <f>CashFlow!D2</f>
        <v>-26000</v>
      </c>
      <c r="C2">
        <f>Assumptions!$B$7</f>
        <v>2000000</v>
      </c>
      <c r="D2">
        <f>B2+C2</f>
        <v>1974000</v>
      </c>
      <c r="E2">
        <v>0</v>
      </c>
    </row>
    <row r="3" spans="1:5" x14ac:dyDescent="0.3">
      <c r="A3">
        <v>2027</v>
      </c>
      <c r="B3">
        <f>CashFlow!D3</f>
        <v>68800</v>
      </c>
      <c r="C3">
        <f>Assumptions!$B$7</f>
        <v>2000000</v>
      </c>
      <c r="D3">
        <f>B3+C3</f>
        <v>2068800</v>
      </c>
      <c r="E3">
        <v>0</v>
      </c>
    </row>
    <row r="4" spans="1:5" x14ac:dyDescent="0.3">
      <c r="A4">
        <v>2028</v>
      </c>
      <c r="B4">
        <f>CashFlow!D4</f>
        <v>182560</v>
      </c>
      <c r="C4">
        <f>Assumptions!$B$7</f>
        <v>2000000</v>
      </c>
      <c r="D4">
        <f>B4+C4</f>
        <v>2182560</v>
      </c>
      <c r="E4">
        <v>0</v>
      </c>
    </row>
    <row r="5" spans="1:5" x14ac:dyDescent="0.3">
      <c r="A5">
        <v>2029</v>
      </c>
      <c r="B5">
        <f>CashFlow!D5</f>
        <v>319072</v>
      </c>
      <c r="C5">
        <f>Assumptions!$B$7</f>
        <v>2000000</v>
      </c>
      <c r="D5">
        <f>B5+C5</f>
        <v>2319072</v>
      </c>
      <c r="E5">
        <v>0</v>
      </c>
    </row>
    <row r="6" spans="1:5" x14ac:dyDescent="0.3">
      <c r="A6">
        <v>2030</v>
      </c>
      <c r="B6">
        <f>CashFlow!D6</f>
        <v>482886.40000000002</v>
      </c>
      <c r="C6">
        <f>Assumptions!$B$7</f>
        <v>2000000</v>
      </c>
      <c r="D6">
        <f>B6+C6</f>
        <v>2482886.4</v>
      </c>
      <c r="E6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Scenario</vt:lpstr>
      <vt:lpstr>Assumptions</vt:lpstr>
      <vt:lpstr>PL</vt:lpstr>
      <vt:lpstr>CashFlow</vt:lpstr>
      <vt:lpstr>BalanceSheet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Sankeerth Patnam</cp:lastModifiedBy>
  <dcterms:created xsi:type="dcterms:W3CDTF">2025-11-28T22:16:15Z</dcterms:created>
  <dcterms:modified xsi:type="dcterms:W3CDTF">2025-11-29T19:03:15Z</dcterms:modified>
</cp:coreProperties>
</file>